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örev" sheetId="1" r:id="rId4"/>
    <sheet state="visible" name="Çözüm" sheetId="2" r:id="rId5"/>
  </sheets>
  <definedNames/>
  <calcPr/>
</workbook>
</file>

<file path=xl/sharedStrings.xml><?xml version="1.0" encoding="utf-8"?>
<sst xmlns="http://schemas.openxmlformats.org/spreadsheetml/2006/main" count="32" uniqueCount="17">
  <si>
    <t>Görev</t>
  </si>
  <si>
    <t xml:space="preserve">Çalışanların deneyim yılı ve maaş bilgileri verilmiştir. 
1-Verilen bias ve weight’e göre doğrusal regresyon model denklemini oluşturunuz. 
    Bias = 275, Weight= 90  (y’ = b+wx)
2-Oluşturduğunuz model denklemine göre tablodaki tüm deneyim yılları için maaş tahmini yapınız.
3-Modelin başarısını ölçmek için MSE, RMSE, MAE skorlarını hesaplayınız
</t>
  </si>
  <si>
    <t>Denklem</t>
  </si>
  <si>
    <t>Bias  -&gt;</t>
  </si>
  <si>
    <t>y' = b + wx
   y'= ?</t>
  </si>
  <si>
    <t>Weight  -&gt;</t>
  </si>
  <si>
    <t>Deneyim Yılı (x)</t>
  </si>
  <si>
    <t>Maaş (y)</t>
  </si>
  <si>
    <t>Maaş Tahmin (y')</t>
  </si>
  <si>
    <t>Hata (y-y')</t>
  </si>
  <si>
    <t>Hata Kareleri</t>
  </si>
  <si>
    <t>Mutlak Hata (|y-y'|)</t>
  </si>
  <si>
    <t>Hata Değerlendirme Metrikleri</t>
  </si>
  <si>
    <t xml:space="preserve">MSE </t>
  </si>
  <si>
    <t>RMSE</t>
  </si>
  <si>
    <t>MAE</t>
  </si>
  <si>
    <t>y' = b + wx
   y'= 275 + 90x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</si>
</sst>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9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left style="dotted">
        <color rgb="FFFFFFFF"/>
      </left>
      <bottom style="dotted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dotted">
        <color rgb="FFFFFFFF"/>
      </right>
      <bottom style="dotted">
        <color rgb="FFFFFFFF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medium">
        <color rgb="FF000000"/>
      </left>
      <right style="dotted">
        <color rgb="FFFFFFFF"/>
      </right>
      <top style="medium">
        <color rgb="FF000000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left style="medium">
        <color rgb="FF000000"/>
      </left>
      <right style="dotted">
        <color rgb="FFFFFFFF"/>
      </right>
      <top style="dotted">
        <color rgb="FFFFFFFF"/>
      </top>
      <bottom style="medium">
        <color rgb="FF000000"/>
      </bottom>
    </border>
    <border>
      <left style="dotted">
        <color rgb="FFFFFFFF"/>
      </left>
      <right style="medium">
        <color rgb="FF000000"/>
      </right>
      <top style="dotted">
        <color rgb="FFFFFFFF"/>
      </top>
      <bottom style="medium">
        <color rgb="FF000000"/>
      </bottom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dotted">
        <color rgb="FFFFFFFF"/>
      </left>
      <right style="dotted">
        <color rgb="FFFFFFFF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left" readingOrder="0"/>
    </xf>
    <xf borderId="3" fillId="2" fontId="1" numFmtId="0" xfId="0" applyBorder="1" applyFont="1"/>
    <xf borderId="4" fillId="4" fontId="3" numFmtId="0" xfId="0" applyAlignment="1" applyBorder="1" applyFill="1" applyFont="1">
      <alignment readingOrder="0"/>
    </xf>
    <xf borderId="5" fillId="2" fontId="1" numFmtId="0" xfId="0" applyBorder="1" applyFont="1"/>
    <xf borderId="2" fillId="2" fontId="1" numFmtId="0" xfId="0" applyAlignment="1" applyBorder="1" applyFont="1">
      <alignment readingOrder="0"/>
    </xf>
    <xf borderId="2" fillId="3" fontId="2" numFmtId="0" xfId="0" applyAlignment="1" applyBorder="1" applyFont="1">
      <alignment horizontal="left" readingOrder="0"/>
    </xf>
    <xf borderId="6" fillId="2" fontId="4" numFmtId="0" xfId="0" applyAlignment="1" applyBorder="1" applyFont="1">
      <alignment horizontal="left" readingOrder="0" vertical="center"/>
    </xf>
    <xf borderId="7" fillId="0" fontId="5" numFmtId="0" xfId="0" applyBorder="1" applyFont="1"/>
    <xf borderId="8" fillId="0" fontId="5" numFmtId="0" xfId="0" applyBorder="1" applyFont="1"/>
    <xf borderId="9" fillId="2" fontId="1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2" fontId="1" numFmtId="0" xfId="0" applyBorder="1" applyFont="1"/>
    <xf borderId="15" fillId="2" fontId="1" numFmtId="0" xfId="0" applyAlignment="1" applyBorder="1" applyFont="1">
      <alignment readingOrder="0"/>
    </xf>
    <xf borderId="15" fillId="3" fontId="2" numFmtId="0" xfId="0" applyAlignment="1" applyBorder="1" applyFont="1">
      <alignment horizontal="left" readingOrder="0"/>
    </xf>
    <xf borderId="16" fillId="2" fontId="1" numFmtId="0" xfId="0" applyBorder="1" applyFont="1"/>
    <xf borderId="17" fillId="2" fontId="1" numFmtId="0" xfId="0" applyBorder="1" applyFont="1"/>
    <xf borderId="18" fillId="5" fontId="6" numFmtId="0" xfId="0" applyAlignment="1" applyBorder="1" applyFill="1" applyFont="1">
      <alignment horizontal="center" readingOrder="0"/>
    </xf>
    <xf borderId="19" fillId="0" fontId="5" numFmtId="0" xfId="0" applyBorder="1" applyFont="1"/>
    <xf borderId="20" fillId="2" fontId="1" numFmtId="0" xfId="0" applyBorder="1" applyFont="1"/>
    <xf borderId="21" fillId="2" fontId="1" numFmtId="0" xfId="0" applyBorder="1" applyFont="1"/>
    <xf borderId="22" fillId="2" fontId="1" numFmtId="0" xfId="0" applyAlignment="1" applyBorder="1" applyFont="1">
      <alignment readingOrder="0"/>
    </xf>
    <xf borderId="8" fillId="3" fontId="2" numFmtId="0" xfId="0" applyAlignment="1" applyBorder="1" applyFont="1">
      <alignment horizontal="left" readingOrder="0"/>
    </xf>
    <xf borderId="23" fillId="2" fontId="1" numFmtId="0" xfId="0" applyBorder="1" applyFont="1"/>
    <xf borderId="6" fillId="0" fontId="3" numFmtId="0" xfId="0" applyAlignment="1" applyBorder="1" applyFont="1">
      <alignment horizontal="center" readingOrder="0" vertical="center"/>
    </xf>
    <xf borderId="24" fillId="2" fontId="1" numFmtId="0" xfId="0" applyBorder="1" applyFont="1"/>
    <xf borderId="25" fillId="2" fontId="1" numFmtId="0" xfId="0" applyAlignment="1" applyBorder="1" applyFont="1">
      <alignment readingOrder="0"/>
    </xf>
    <xf borderId="26" fillId="2" fontId="1" numFmtId="0" xfId="0" applyAlignment="1" applyBorder="1" applyFont="1">
      <alignment horizontal="left" readingOrder="0"/>
    </xf>
    <xf borderId="27" fillId="2" fontId="1" numFmtId="0" xfId="0" applyBorder="1" applyFont="1"/>
    <xf borderId="28" fillId="2" fontId="1" numFmtId="0" xfId="0" applyBorder="1" applyFont="1"/>
    <xf borderId="4" fillId="6" fontId="3" numFmtId="0" xfId="0" applyAlignment="1" applyBorder="1" applyFill="1" applyFon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8" fontId="4" numFmtId="0" xfId="0" applyAlignment="1" applyBorder="1" applyFill="1" applyFont="1">
      <alignment horizontal="center"/>
    </xf>
    <xf borderId="1" fillId="0" fontId="1" numFmtId="0" xfId="0" applyBorder="1" applyFont="1"/>
    <xf borderId="3" fillId="0" fontId="1" numFmtId="0" xfId="0" applyBorder="1" applyFont="1"/>
    <xf borderId="4" fillId="2" fontId="4" numFmtId="0" xfId="0" applyAlignment="1" applyBorder="1" applyFont="1">
      <alignment readingOrder="0"/>
    </xf>
    <xf borderId="4" fillId="8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Maaş-Deneyim Yılı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'Çözüm'!$C$13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'Çözüm'!$B$14:$B$28</c:f>
            </c:numRef>
          </c:xVal>
          <c:yVal>
            <c:numRef>
              <c:f>'Çözüm'!$C$14:$C$28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659889"/>
        <c:axId val="1620724342"/>
      </c:scatterChart>
      <c:valAx>
        <c:axId val="8896598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Deneyim Yılı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724342"/>
      </c:valAx>
      <c:valAx>
        <c:axId val="1620724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Maaş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659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10</xdr:row>
      <xdr:rowOff>123825</xdr:rowOff>
    </xdr:from>
    <xdr:ext cx="2476500" cy="47815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1</xdr:row>
      <xdr:rowOff>114300</xdr:rowOff>
    </xdr:from>
    <xdr:ext cx="4010025" cy="248602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523875</xdr:colOff>
      <xdr:row>10</xdr:row>
      <xdr:rowOff>123825</xdr:rowOff>
    </xdr:from>
    <xdr:ext cx="2476500" cy="4781550"/>
    <xdr:pic>
      <xdr:nvPicPr>
        <xdr:cNvPr id="0" name="image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4" width="20.0"/>
    <col customWidth="1" min="5" max="5" width="21.0"/>
    <col customWidth="1" min="6" max="6" width="15.5"/>
    <col customWidth="1" min="7" max="7" width="22.13"/>
  </cols>
  <sheetData>
    <row r="1" ht="21.75" customHeight="1">
      <c r="A1" s="1"/>
      <c r="B1" s="2"/>
      <c r="C1" s="1"/>
      <c r="D1" s="1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/>
      <c r="B2" s="6" t="s">
        <v>0</v>
      </c>
      <c r="C2" s="7"/>
      <c r="D2" s="2"/>
      <c r="E2" s="8"/>
      <c r="F2" s="9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5"/>
      <c r="B3" s="10" t="s">
        <v>1</v>
      </c>
      <c r="C3" s="11"/>
      <c r="D3" s="11"/>
      <c r="E3" s="11"/>
      <c r="F3" s="11"/>
      <c r="G3" s="12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5"/>
      <c r="B4" s="14"/>
      <c r="G4" s="15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0" customHeight="1">
      <c r="A5" s="5"/>
      <c r="B5" s="16"/>
      <c r="C5" s="17"/>
      <c r="D5" s="17"/>
      <c r="E5" s="17"/>
      <c r="F5" s="17"/>
      <c r="G5" s="18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/>
      <c r="C6" s="19"/>
      <c r="D6" s="19"/>
      <c r="E6" s="20"/>
      <c r="F6" s="21"/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3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8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2"/>
      <c r="B9" s="22"/>
      <c r="C9" s="22"/>
      <c r="D9" s="23"/>
      <c r="E9" s="24" t="s">
        <v>2</v>
      </c>
      <c r="F9" s="25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7"/>
      <c r="B10" s="28" t="s">
        <v>3</v>
      </c>
      <c r="C10" s="29">
        <v>275.0</v>
      </c>
      <c r="D10" s="30"/>
      <c r="E10" s="31" t="s">
        <v>4</v>
      </c>
      <c r="F10" s="12"/>
      <c r="G10" s="32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33" t="s">
        <v>5</v>
      </c>
      <c r="C11" s="34">
        <v>90.0</v>
      </c>
      <c r="D11" s="30"/>
      <c r="E11" s="16"/>
      <c r="F11" s="18"/>
      <c r="G11" s="32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35"/>
      <c r="C12" s="35"/>
      <c r="D12" s="27"/>
      <c r="E12" s="36"/>
      <c r="F12" s="3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0"/>
      <c r="B13" s="37" t="s">
        <v>6</v>
      </c>
      <c r="C13" s="37" t="s">
        <v>7</v>
      </c>
      <c r="D13" s="38" t="s">
        <v>8</v>
      </c>
      <c r="E13" s="38" t="s">
        <v>9</v>
      </c>
      <c r="F13" s="38" t="s">
        <v>10</v>
      </c>
      <c r="G13" s="38" t="s">
        <v>11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0"/>
      <c r="B14" s="39">
        <v>5.0</v>
      </c>
      <c r="C14" s="39">
        <v>600.0</v>
      </c>
      <c r="D14" s="39"/>
      <c r="E14" s="39"/>
      <c r="F14" s="39"/>
      <c r="G14" s="39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0"/>
      <c r="B15" s="39">
        <v>7.0</v>
      </c>
      <c r="C15" s="39">
        <v>900.0</v>
      </c>
      <c r="D15" s="39"/>
      <c r="E15" s="39"/>
      <c r="F15" s="39"/>
      <c r="G15" s="39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0"/>
      <c r="B16" s="39">
        <v>3.0</v>
      </c>
      <c r="C16" s="39">
        <v>550.0</v>
      </c>
      <c r="D16" s="39"/>
      <c r="E16" s="39"/>
      <c r="F16" s="39"/>
      <c r="G16" s="39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0"/>
      <c r="B17" s="39">
        <v>3.0</v>
      </c>
      <c r="C17" s="39">
        <v>500.0</v>
      </c>
      <c r="D17" s="39"/>
      <c r="E17" s="39"/>
      <c r="F17" s="39"/>
      <c r="G17" s="39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0"/>
      <c r="B18" s="39">
        <v>2.0</v>
      </c>
      <c r="C18" s="39">
        <v>400.0</v>
      </c>
      <c r="D18" s="39"/>
      <c r="E18" s="39"/>
      <c r="F18" s="39"/>
      <c r="G18" s="39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0"/>
      <c r="B19" s="39">
        <v>7.0</v>
      </c>
      <c r="C19" s="39">
        <v>950.0</v>
      </c>
      <c r="D19" s="39"/>
      <c r="E19" s="39"/>
      <c r="F19" s="39"/>
      <c r="G19" s="39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30"/>
      <c r="B20" s="39">
        <v>3.0</v>
      </c>
      <c r="C20" s="39">
        <v>540.0</v>
      </c>
      <c r="D20" s="39"/>
      <c r="E20" s="39"/>
      <c r="F20" s="39"/>
      <c r="G20" s="39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0"/>
      <c r="B21" s="39">
        <v>10.0</v>
      </c>
      <c r="C21" s="39">
        <v>1200.0</v>
      </c>
      <c r="D21" s="39"/>
      <c r="E21" s="39"/>
      <c r="F21" s="39"/>
      <c r="G21" s="39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0"/>
      <c r="B22" s="39">
        <v>6.0</v>
      </c>
      <c r="C22" s="39">
        <v>900.0</v>
      </c>
      <c r="D22" s="39"/>
      <c r="E22" s="39"/>
      <c r="F22" s="39"/>
      <c r="G22" s="39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0"/>
      <c r="B23" s="39">
        <v>4.0</v>
      </c>
      <c r="C23" s="39">
        <v>550.0</v>
      </c>
      <c r="D23" s="39"/>
      <c r="E23" s="39"/>
      <c r="F23" s="39"/>
      <c r="G23" s="39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0"/>
      <c r="B24" s="39">
        <v>8.0</v>
      </c>
      <c r="C24" s="39">
        <v>1100.0</v>
      </c>
      <c r="D24" s="39"/>
      <c r="E24" s="39"/>
      <c r="F24" s="39"/>
      <c r="G24" s="39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/>
      <c r="B25" s="39">
        <v>1.0</v>
      </c>
      <c r="C25" s="39">
        <v>460.0</v>
      </c>
      <c r="D25" s="39"/>
      <c r="E25" s="39"/>
      <c r="F25" s="39"/>
      <c r="G25" s="3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0"/>
      <c r="B26" s="39">
        <v>1.0</v>
      </c>
      <c r="C26" s="39">
        <v>400.0</v>
      </c>
      <c r="D26" s="39"/>
      <c r="E26" s="39"/>
      <c r="F26" s="39"/>
      <c r="G26" s="39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0"/>
      <c r="B27" s="39">
        <v>9.0</v>
      </c>
      <c r="C27" s="39">
        <v>1000.0</v>
      </c>
      <c r="D27" s="39"/>
      <c r="E27" s="39"/>
      <c r="F27" s="39"/>
      <c r="G27" s="39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0"/>
      <c r="B28" s="39">
        <v>1.0</v>
      </c>
      <c r="C28" s="39">
        <v>380.0</v>
      </c>
      <c r="D28" s="39"/>
      <c r="E28" s="39"/>
      <c r="F28" s="39"/>
      <c r="G28" s="3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2"/>
      <c r="C29" s="22"/>
      <c r="D29" s="27"/>
      <c r="E29" s="30"/>
      <c r="F29" s="40"/>
      <c r="G29" s="40"/>
      <c r="H29" s="32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2"/>
      <c r="G30" s="22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35"/>
      <c r="E32" s="35"/>
      <c r="F32" s="35"/>
      <c r="G32" s="35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30"/>
      <c r="D33" s="41"/>
      <c r="E33" s="42"/>
      <c r="F33" s="24" t="s">
        <v>12</v>
      </c>
      <c r="G33" s="25"/>
      <c r="H33" s="3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30"/>
      <c r="D34" s="41"/>
      <c r="E34" s="42"/>
      <c r="F34" s="43" t="s">
        <v>13</v>
      </c>
      <c r="G34" s="44"/>
      <c r="H34" s="32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30"/>
      <c r="D35" s="41"/>
      <c r="E35" s="42"/>
      <c r="F35" s="43" t="s">
        <v>14</v>
      </c>
      <c r="G35" s="44"/>
      <c r="H35" s="32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30"/>
      <c r="D36" s="41"/>
      <c r="E36" s="42"/>
      <c r="F36" s="43" t="s">
        <v>15</v>
      </c>
      <c r="G36" s="44"/>
      <c r="H36" s="32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2"/>
      <c r="E37" s="22"/>
      <c r="F37" s="22"/>
      <c r="G37" s="22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</sheetData>
  <mergeCells count="4">
    <mergeCell ref="B3:G5"/>
    <mergeCell ref="E9:F9"/>
    <mergeCell ref="E10:F11"/>
    <mergeCell ref="F33:G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4" width="20.0"/>
    <col customWidth="1" min="5" max="5" width="21.0"/>
    <col customWidth="1" min="6" max="6" width="15.5"/>
    <col customWidth="1" min="7" max="7" width="22.13"/>
  </cols>
  <sheetData>
    <row r="1" ht="21.75" customHeight="1">
      <c r="A1" s="1"/>
      <c r="B1" s="2"/>
      <c r="C1" s="1"/>
      <c r="D1" s="1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/>
      <c r="B2" s="6" t="s">
        <v>0</v>
      </c>
      <c r="C2" s="7"/>
      <c r="D2" s="2"/>
      <c r="E2" s="8"/>
      <c r="F2" s="9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5"/>
      <c r="B3" s="10" t="s">
        <v>1</v>
      </c>
      <c r="C3" s="11"/>
      <c r="D3" s="11"/>
      <c r="E3" s="11"/>
      <c r="F3" s="11"/>
      <c r="G3" s="12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5"/>
      <c r="B4" s="14"/>
      <c r="G4" s="15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0" customHeight="1">
      <c r="A5" s="5"/>
      <c r="B5" s="16"/>
      <c r="C5" s="17"/>
      <c r="D5" s="17"/>
      <c r="E5" s="17"/>
      <c r="F5" s="17"/>
      <c r="G5" s="18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/>
      <c r="C6" s="19"/>
      <c r="D6" s="19"/>
      <c r="E6" s="20"/>
      <c r="F6" s="21"/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3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8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2"/>
      <c r="B9" s="22"/>
      <c r="C9" s="22"/>
      <c r="D9" s="23"/>
      <c r="E9" s="24" t="s">
        <v>2</v>
      </c>
      <c r="F9" s="25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7"/>
      <c r="B10" s="28" t="s">
        <v>3</v>
      </c>
      <c r="C10" s="29">
        <v>275.0</v>
      </c>
      <c r="D10" s="30"/>
      <c r="E10" s="31" t="s">
        <v>16</v>
      </c>
      <c r="F10" s="12"/>
      <c r="G10" s="32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33" t="s">
        <v>5</v>
      </c>
      <c r="C11" s="34">
        <v>90.0</v>
      </c>
      <c r="D11" s="30"/>
      <c r="E11" s="16"/>
      <c r="F11" s="18"/>
      <c r="G11" s="32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35"/>
      <c r="C12" s="35"/>
      <c r="D12" s="27"/>
      <c r="E12" s="36"/>
      <c r="F12" s="3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0"/>
      <c r="B13" s="37" t="s">
        <v>6</v>
      </c>
      <c r="C13" s="37" t="s">
        <v>7</v>
      </c>
      <c r="D13" s="38" t="s">
        <v>8</v>
      </c>
      <c r="E13" s="38" t="s">
        <v>9</v>
      </c>
      <c r="F13" s="38" t="s">
        <v>10</v>
      </c>
      <c r="G13" s="38" t="s">
        <v>11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0"/>
      <c r="B14" s="39">
        <v>5.0</v>
      </c>
      <c r="C14" s="39">
        <v>600.0</v>
      </c>
      <c r="D14" s="39">
        <f t="shared" ref="D14:D28" si="1">$C$11*B14+$C$10</f>
        <v>725</v>
      </c>
      <c r="E14" s="39">
        <f t="shared" ref="E14:E28" si="2">D14-C14</f>
        <v>125</v>
      </c>
      <c r="F14" s="39">
        <f t="shared" ref="F14:F28" si="3">E14*E14</f>
        <v>15625</v>
      </c>
      <c r="G14" s="39">
        <f t="shared" ref="G14:G28" si="4">ABS(C14-D14)</f>
        <v>125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0"/>
      <c r="B15" s="39">
        <v>7.0</v>
      </c>
      <c r="C15" s="39">
        <v>900.0</v>
      </c>
      <c r="D15" s="39">
        <f t="shared" si="1"/>
        <v>905</v>
      </c>
      <c r="E15" s="39">
        <f t="shared" si="2"/>
        <v>5</v>
      </c>
      <c r="F15" s="39">
        <f t="shared" si="3"/>
        <v>25</v>
      </c>
      <c r="G15" s="39">
        <f t="shared" si="4"/>
        <v>5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0"/>
      <c r="B16" s="39">
        <v>3.0</v>
      </c>
      <c r="C16" s="39">
        <v>550.0</v>
      </c>
      <c r="D16" s="39">
        <f t="shared" si="1"/>
        <v>545</v>
      </c>
      <c r="E16" s="39">
        <f t="shared" si="2"/>
        <v>-5</v>
      </c>
      <c r="F16" s="39">
        <f t="shared" si="3"/>
        <v>25</v>
      </c>
      <c r="G16" s="39">
        <f t="shared" si="4"/>
        <v>5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0"/>
      <c r="B17" s="39">
        <v>3.0</v>
      </c>
      <c r="C17" s="39">
        <v>500.0</v>
      </c>
      <c r="D17" s="39">
        <f t="shared" si="1"/>
        <v>545</v>
      </c>
      <c r="E17" s="39">
        <f t="shared" si="2"/>
        <v>45</v>
      </c>
      <c r="F17" s="39">
        <f t="shared" si="3"/>
        <v>2025</v>
      </c>
      <c r="G17" s="39">
        <f t="shared" si="4"/>
        <v>45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0"/>
      <c r="B18" s="39">
        <v>2.0</v>
      </c>
      <c r="C18" s="39">
        <v>400.0</v>
      </c>
      <c r="D18" s="39">
        <f t="shared" si="1"/>
        <v>455</v>
      </c>
      <c r="E18" s="39">
        <f t="shared" si="2"/>
        <v>55</v>
      </c>
      <c r="F18" s="39">
        <f t="shared" si="3"/>
        <v>3025</v>
      </c>
      <c r="G18" s="39">
        <f t="shared" si="4"/>
        <v>55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0"/>
      <c r="B19" s="39">
        <v>7.0</v>
      </c>
      <c r="C19" s="39">
        <v>950.0</v>
      </c>
      <c r="D19" s="39">
        <f t="shared" si="1"/>
        <v>905</v>
      </c>
      <c r="E19" s="39">
        <f t="shared" si="2"/>
        <v>-45</v>
      </c>
      <c r="F19" s="39">
        <f t="shared" si="3"/>
        <v>2025</v>
      </c>
      <c r="G19" s="39">
        <f t="shared" si="4"/>
        <v>45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30"/>
      <c r="B20" s="39">
        <v>3.0</v>
      </c>
      <c r="C20" s="39">
        <v>540.0</v>
      </c>
      <c r="D20" s="39">
        <f t="shared" si="1"/>
        <v>545</v>
      </c>
      <c r="E20" s="39">
        <f t="shared" si="2"/>
        <v>5</v>
      </c>
      <c r="F20" s="39">
        <f t="shared" si="3"/>
        <v>25</v>
      </c>
      <c r="G20" s="39">
        <f t="shared" si="4"/>
        <v>5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0"/>
      <c r="B21" s="39">
        <v>10.0</v>
      </c>
      <c r="C21" s="39">
        <v>1200.0</v>
      </c>
      <c r="D21" s="39">
        <f t="shared" si="1"/>
        <v>1175</v>
      </c>
      <c r="E21" s="39">
        <f t="shared" si="2"/>
        <v>-25</v>
      </c>
      <c r="F21" s="39">
        <f t="shared" si="3"/>
        <v>625</v>
      </c>
      <c r="G21" s="39">
        <f t="shared" si="4"/>
        <v>25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0"/>
      <c r="B22" s="39">
        <v>6.0</v>
      </c>
      <c r="C22" s="39">
        <v>900.0</v>
      </c>
      <c r="D22" s="39">
        <f t="shared" si="1"/>
        <v>815</v>
      </c>
      <c r="E22" s="39">
        <f t="shared" si="2"/>
        <v>-85</v>
      </c>
      <c r="F22" s="39">
        <f t="shared" si="3"/>
        <v>7225</v>
      </c>
      <c r="G22" s="39">
        <f t="shared" si="4"/>
        <v>85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0"/>
      <c r="B23" s="39">
        <v>4.0</v>
      </c>
      <c r="C23" s="39">
        <v>550.0</v>
      </c>
      <c r="D23" s="39">
        <f t="shared" si="1"/>
        <v>635</v>
      </c>
      <c r="E23" s="39">
        <f t="shared" si="2"/>
        <v>85</v>
      </c>
      <c r="F23" s="39">
        <f t="shared" si="3"/>
        <v>7225</v>
      </c>
      <c r="G23" s="39">
        <f t="shared" si="4"/>
        <v>85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0"/>
      <c r="B24" s="39">
        <v>8.0</v>
      </c>
      <c r="C24" s="39">
        <v>1100.0</v>
      </c>
      <c r="D24" s="39">
        <f t="shared" si="1"/>
        <v>995</v>
      </c>
      <c r="E24" s="39">
        <f t="shared" si="2"/>
        <v>-105</v>
      </c>
      <c r="F24" s="39">
        <f t="shared" si="3"/>
        <v>11025</v>
      </c>
      <c r="G24" s="39">
        <f t="shared" si="4"/>
        <v>105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/>
      <c r="B25" s="39">
        <v>1.0</v>
      </c>
      <c r="C25" s="39">
        <v>460.0</v>
      </c>
      <c r="D25" s="39">
        <f t="shared" si="1"/>
        <v>365</v>
      </c>
      <c r="E25" s="39">
        <f t="shared" si="2"/>
        <v>-95</v>
      </c>
      <c r="F25" s="39">
        <f t="shared" si="3"/>
        <v>9025</v>
      </c>
      <c r="G25" s="39">
        <f t="shared" si="4"/>
        <v>95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0"/>
      <c r="B26" s="39">
        <v>1.0</v>
      </c>
      <c r="C26" s="39">
        <v>400.0</v>
      </c>
      <c r="D26" s="39">
        <f t="shared" si="1"/>
        <v>365</v>
      </c>
      <c r="E26" s="39">
        <f t="shared" si="2"/>
        <v>-35</v>
      </c>
      <c r="F26" s="39">
        <f t="shared" si="3"/>
        <v>1225</v>
      </c>
      <c r="G26" s="39">
        <f t="shared" si="4"/>
        <v>35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0"/>
      <c r="B27" s="39">
        <v>9.0</v>
      </c>
      <c r="C27" s="39">
        <v>1000.0</v>
      </c>
      <c r="D27" s="39">
        <f t="shared" si="1"/>
        <v>1085</v>
      </c>
      <c r="E27" s="39">
        <f t="shared" si="2"/>
        <v>85</v>
      </c>
      <c r="F27" s="39">
        <f t="shared" si="3"/>
        <v>7225</v>
      </c>
      <c r="G27" s="39">
        <f t="shared" si="4"/>
        <v>85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0"/>
      <c r="B28" s="39">
        <v>1.0</v>
      </c>
      <c r="C28" s="39">
        <v>380.0</v>
      </c>
      <c r="D28" s="39">
        <f t="shared" si="1"/>
        <v>365</v>
      </c>
      <c r="E28" s="39">
        <f t="shared" si="2"/>
        <v>-15</v>
      </c>
      <c r="F28" s="39">
        <f t="shared" si="3"/>
        <v>225</v>
      </c>
      <c r="G28" s="39">
        <f t="shared" si="4"/>
        <v>15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2"/>
      <c r="C29" s="22"/>
      <c r="D29" s="27"/>
      <c r="E29" s="30"/>
      <c r="F29" s="40">
        <f t="shared" ref="F29:G29" si="5">SUM(F14:F28)</f>
        <v>66575</v>
      </c>
      <c r="G29" s="40">
        <f t="shared" si="5"/>
        <v>815</v>
      </c>
      <c r="H29" s="32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2"/>
      <c r="G30" s="22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35"/>
      <c r="E32" s="35"/>
      <c r="F32" s="35"/>
      <c r="G32" s="35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30"/>
      <c r="D33" s="41"/>
      <c r="E33" s="42"/>
      <c r="F33" s="24" t="s">
        <v>12</v>
      </c>
      <c r="G33" s="25"/>
      <c r="H33" s="3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30"/>
      <c r="D34" s="41"/>
      <c r="E34" s="42"/>
      <c r="F34" s="43" t="s">
        <v>13</v>
      </c>
      <c r="G34" s="44">
        <f>F29/15</f>
        <v>4438.333333</v>
      </c>
      <c r="H34" s="32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30"/>
      <c r="D35" s="41"/>
      <c r="E35" s="42"/>
      <c r="F35" s="43" t="s">
        <v>14</v>
      </c>
      <c r="G35" s="44">
        <f>SQRT(G34)</f>
        <v>66.62081757</v>
      </c>
      <c r="H35" s="32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30"/>
      <c r="D36" s="41"/>
      <c r="E36" s="42"/>
      <c r="F36" s="43" t="s">
        <v>15</v>
      </c>
      <c r="G36" s="44">
        <f>G29/15</f>
        <v>54.33333333</v>
      </c>
      <c r="H36" s="32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2"/>
      <c r="E37" s="22"/>
      <c r="F37" s="22"/>
      <c r="G37" s="22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</sheetData>
  <mergeCells count="4">
    <mergeCell ref="B3:G5"/>
    <mergeCell ref="E9:F9"/>
    <mergeCell ref="E10:F11"/>
    <mergeCell ref="F33:G33"/>
  </mergeCells>
  <drawing r:id="rId1"/>
</worksheet>
</file>